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externalReferences>
    <externalReference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1"/>
      <scheme val="minor"/>
    </font>
    <font>
      <name val="Calibri"/>
      <sz val="11"/>
    </font>
    <font/>
    <font>
      <name val="Calibri"/>
      <sz val="8"/>
    </font>
    <font>
      <name val="Calibri"/>
      <color rgb="FFC55A11"/>
      <sz val="11"/>
    </font>
    <font>
      <name val="Calibri"/>
      <sz val="9"/>
    </font>
    <font>
      <name val="Calibri"/>
      <color rgb="FFC55A11"/>
      <sz val="9"/>
    </font>
    <font>
      <name val="Calibri"/>
      <sz val="12"/>
    </font>
  </fonts>
  <fills count="11">
    <fill>
      <patternFill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3" pivotButton="0" quotePrefix="0" xfId="0"/>
    <xf numFmtId="0" fontId="1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18" fontId="6" fillId="0" borderId="0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20" fontId="1" fillId="3" borderId="1" applyAlignment="1" pivotButton="0" quotePrefix="0" xfId="0">
      <alignment horizontal="center"/>
    </xf>
    <xf numFmtId="18" fontId="1" fillId="3" borderId="1" applyAlignment="1" pivotButton="0" quotePrefix="0" xfId="0">
      <alignment horizontal="center"/>
    </xf>
    <xf numFmtId="19" fontId="1" fillId="3" borderId="1" applyAlignment="1" pivotButton="0" quotePrefix="0" xfId="0">
      <alignment horizontal="center"/>
    </xf>
    <xf numFmtId="0" fontId="1" fillId="0" borderId="0" pivotButton="0" quotePrefix="0" xfId="0"/>
    <xf numFmtId="0" fontId="1" fillId="6" borderId="4" applyAlignment="1" pivotButton="0" quotePrefix="0" xfId="0">
      <alignment horizontal="center"/>
    </xf>
    <xf numFmtId="0" fontId="2" fillId="0" borderId="5" pivotButton="0" quotePrefix="0" xfId="0"/>
    <xf numFmtId="0" fontId="1" fillId="7" borderId="6" applyAlignment="1" pivotButton="0" quotePrefix="0" xfId="0">
      <alignment horizontal="center" vertical="top"/>
    </xf>
    <xf numFmtId="0" fontId="1" fillId="7" borderId="6" applyAlignment="1" pivotButton="0" quotePrefix="0" xfId="0">
      <alignment horizontal="center" vertical="top" wrapText="1"/>
    </xf>
    <xf numFmtId="0" fontId="1" fillId="8" borderId="7" applyAlignment="1" pivotButton="0" quotePrefix="0" xfId="0">
      <alignment horizontal="center" wrapText="1"/>
    </xf>
    <xf numFmtId="0" fontId="2" fillId="0" borderId="8" pivotButton="0" quotePrefix="0" xfId="0"/>
    <xf numFmtId="0" fontId="1" fillId="5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wrapText="1"/>
    </xf>
    <xf numFmtId="9" fontId="1" fillId="0" borderId="6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2" fillId="0" borderId="10" pivotButton="0" quotePrefix="0" xfId="0"/>
    <xf numFmtId="0" fontId="7" fillId="0" borderId="11" applyAlignment="1" pivotButton="0" quotePrefix="0" xfId="0">
      <alignment horizont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7" fillId="0" borderId="11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11" pivotButton="0" quotePrefix="0" xfId="0"/>
    <xf numFmtId="0" fontId="1" fillId="7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9" borderId="2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9" pivotButton="0" quotePrefix="0" xfId="0"/>
    <xf numFmtId="14" fontId="5" fillId="0" borderId="11" applyAlignment="1" pivotButton="0" quotePrefix="0" xfId="0">
      <alignment horizontal="center" wrapText="1"/>
    </xf>
    <xf numFmtId="14" fontId="5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1" fillId="0" borderId="6" applyAlignment="1" pivotButton="0" quotePrefix="0" xfId="0">
      <alignment horizontal="center" vertical="center"/>
    </xf>
    <xf numFmtId="0" fontId="1" fillId="10" borderId="6" applyAlignment="1" pivotButton="0" quotePrefix="0" xfId="0">
      <alignment horizontal="center" vertical="center"/>
    </xf>
    <xf numFmtId="9" fontId="1" fillId="0" borderId="0" pivotButton="0" quotePrefix="0" xfId="0"/>
    <xf numFmtId="0" fontId="0" fillId="0" borderId="0" pivotButton="0" quotePrefix="0" xfId="0"/>
    <xf numFmtId="0" fontId="0" fillId="0" borderId="13" pivotButton="0" quotePrefix="0" xfId="0"/>
    <xf numFmtId="0" fontId="1" fillId="8" borderId="6" applyAlignment="1" pivotButton="0" quotePrefix="0" xfId="0">
      <alignment horizontal="center" wrapText="1"/>
    </xf>
    <xf numFmtId="0" fontId="0" fillId="0" borderId="8" pivotButton="0" quotePrefix="0" xfId="0"/>
    <xf numFmtId="0" fontId="1" fillId="0" borderId="6" applyAlignment="1" pivotButton="0" quotePrefix="0" xfId="0">
      <alignment horizontal="center" wrapText="1"/>
    </xf>
    <xf numFmtId="0" fontId="1" fillId="9" borderId="6" applyAlignment="1" pivotButton="0" quotePrefix="0" xfId="0">
      <alignment horizontal="center"/>
    </xf>
    <xf numFmtId="0" fontId="0" fillId="0" borderId="10" pivotButton="0" quotePrefix="0" xfId="0"/>
    <xf numFmtId="0" fontId="3" fillId="0" borderId="6" applyAlignment="1" pivotButton="0" quotePrefix="0" xfId="0">
      <alignment horizontal="center"/>
    </xf>
    <xf numFmtId="0" fontId="0" fillId="0" borderId="11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dtpic/samradapps_datepicker_221114.xla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_data12345"/>
      <sheetName val="Sheet1"/>
      <sheetName val="samradapps_datepicker_221114"/>
    </sheetNames>
    <definedNames>
      <definedName name="dp_core.gridDP_Click"/>
    </defined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selection activeCell="A1" sqref="A1"/>
    </sheetView>
  </sheetViews>
  <sheetFormatPr baseColWidth="8" defaultColWidth="14.43" defaultRowHeight="15" customHeight="1"/>
  <cols>
    <col width="26.29" customWidth="1" style="59" min="1" max="1"/>
    <col width="17.14" customWidth="1" style="59" min="2" max="2"/>
    <col width="23.71" customWidth="1" style="59" min="3" max="3"/>
    <col width="19.71" customWidth="1" style="59" min="4" max="4"/>
    <col width="10.57" customWidth="1" style="59" min="5" max="5"/>
    <col width="16" customWidth="1" style="59" min="6" max="6"/>
    <col width="29.57" customWidth="1" style="59" min="7" max="7"/>
    <col width="23.29" customWidth="1" style="59" min="8" max="8"/>
    <col width="18.86" customWidth="1" style="59" min="9" max="9"/>
    <col width="26.29" customWidth="1" style="59" min="10" max="10"/>
    <col width="16.29" customWidth="1" style="59" min="11" max="11"/>
    <col width="10" customWidth="1" style="59" min="12" max="12"/>
    <col width="8.710000000000001" customWidth="1" style="59" min="13" max="14"/>
  </cols>
  <sheetData>
    <row r="1" ht="33.75" customHeight="1" s="59">
      <c r="A1" s="2" t="n"/>
      <c r="E1" s="2" t="n"/>
      <c r="F1" s="2" t="n"/>
      <c r="G1" s="2" t="inlineStr">
        <is>
          <t>شركة كلرز للصناعات الورقية و البلاستيكية</t>
        </is>
      </c>
    </row>
    <row r="2">
      <c r="A2" s="2" t="inlineStr">
        <is>
          <t>تقرير الإنتاج اليومي لقسم التشكيل (Thermoforming machine)</t>
        </is>
      </c>
    </row>
    <row r="3">
      <c r="A3" s="3" t="n"/>
      <c r="B3" s="2" t="inlineStr">
        <is>
          <t>الرقم الوظيفي</t>
        </is>
      </c>
      <c r="D3" s="4" t="n"/>
      <c r="G3" s="2" t="inlineStr">
        <is>
          <t>اسم المشغل</t>
        </is>
      </c>
      <c r="H3" s="6" t="n"/>
      <c r="I3" s="7" t="n"/>
      <c r="J3" s="2" t="inlineStr">
        <is>
          <t>التاريخ و اليوم و الوردية</t>
        </is>
      </c>
    </row>
    <row r="4">
      <c r="A4" s="8" t="n"/>
      <c r="C4" s="10" t="inlineStr">
        <is>
          <t>قراءة عداد الكهرباء</t>
        </is>
      </c>
      <c r="E4" s="10" t="n"/>
      <c r="F4" s="10" t="inlineStr">
        <is>
          <t>الزمن المستغرق للتشكيل للدورة الواحدة</t>
        </is>
      </c>
      <c r="H4" s="10" t="inlineStr">
        <is>
          <t>مسافة التغذية</t>
        </is>
      </c>
      <c r="I4" s="10" t="inlineStr">
        <is>
          <t>سرعة التشكيل المستخدمة</t>
        </is>
      </c>
      <c r="J4" s="10" t="inlineStr">
        <is>
          <t>نوع المنتج و صنفه</t>
        </is>
      </c>
    </row>
    <row r="5">
      <c r="A5" s="10" t="inlineStr">
        <is>
          <t>كمية الإستهلاك</t>
        </is>
      </c>
      <c r="C5" s="10" t="inlineStr">
        <is>
          <t>نهاية الشقت</t>
        </is>
      </c>
      <c r="D5" s="10" t="inlineStr">
        <is>
          <t>بداية الشفت</t>
        </is>
      </c>
      <c r="E5" s="10" t="n"/>
      <c r="F5" s="10" t="n"/>
      <c r="G5" s="10" t="n"/>
      <c r="H5" s="10" t="n"/>
      <c r="I5" s="10" t="n"/>
      <c r="J5" s="10" t="n"/>
    </row>
    <row r="6">
      <c r="A6" s="11">
        <f>C6-D6</f>
        <v/>
      </c>
      <c r="C6" s="13" t="n"/>
      <c r="D6" s="13" t="n"/>
      <c r="E6" s="10" t="n"/>
      <c r="F6" s="10" t="n"/>
      <c r="G6" s="15" t="n"/>
      <c r="H6" s="15" t="n"/>
      <c r="I6" s="15" t="n"/>
      <c r="J6" s="16" t="n"/>
    </row>
    <row r="7">
      <c r="A7" s="10" t="n"/>
      <c r="E7" s="10" t="n"/>
      <c r="F7" s="10" t="n"/>
      <c r="G7" s="10" t="n"/>
      <c r="H7" s="10" t="n"/>
      <c r="I7" s="10" t="n"/>
      <c r="J7" s="10" t="n"/>
      <c r="K7" s="24" t="n"/>
    </row>
    <row r="8">
      <c r="A8" s="18" t="inlineStr">
        <is>
          <t> </t>
        </is>
      </c>
      <c r="C8" s="19" t="n"/>
      <c r="D8" s="19" t="n"/>
      <c r="E8" s="19" t="n"/>
      <c r="F8" s="10" t="inlineStr">
        <is>
          <t>العاملين</t>
        </is>
      </c>
      <c r="G8" s="10" t="n"/>
      <c r="H8" s="10" t="inlineStr">
        <is>
          <t>مجمل ساعات الإنتاج الفعلية</t>
        </is>
      </c>
      <c r="I8" s="10" t="inlineStr">
        <is>
          <t>ساعة توقف الإنتاج للشفت</t>
        </is>
      </c>
      <c r="J8" s="10" t="inlineStr">
        <is>
          <t>ساعة بداية الإنتاج للشفت</t>
        </is>
      </c>
    </row>
    <row r="9">
      <c r="A9" s="20" t="n"/>
      <c r="G9" s="10" t="n"/>
      <c r="H9" s="21" t="n"/>
      <c r="I9" s="22" t="n"/>
      <c r="J9" s="23" t="n"/>
    </row>
    <row r="10">
      <c r="A10" s="24" t="n"/>
      <c r="B10" s="24" t="n"/>
      <c r="C10" s="24" t="n"/>
      <c r="D10" s="24" t="n"/>
      <c r="E10" s="24" t="n"/>
      <c r="F10" s="24" t="inlineStr">
        <is>
          <t>المتدربين</t>
        </is>
      </c>
      <c r="G10" s="10" t="n"/>
      <c r="H10" s="10" t="n"/>
      <c r="I10" s="10" t="n"/>
      <c r="J10" s="10" t="n"/>
    </row>
    <row r="11">
      <c r="A11" s="25" t="n"/>
      <c r="B11" s="60" t="n"/>
      <c r="C11" s="60" t="n"/>
      <c r="D11" s="60" t="n"/>
      <c r="E11" s="60" t="n"/>
      <c r="F11" s="60" t="n"/>
      <c r="G11" s="10" t="n"/>
      <c r="H11" s="10" t="n"/>
      <c r="I11" s="10" t="n"/>
      <c r="J11" s="10" t="n"/>
    </row>
    <row r="12">
      <c r="A12" s="27" t="inlineStr">
        <is>
          <t>الرقم المتسلسل</t>
        </is>
      </c>
      <c r="B12" s="28" t="inlineStr">
        <is>
          <t>وزن الرول
kg</t>
        </is>
      </c>
      <c r="C12" s="27" t="inlineStr">
        <is>
          <t>طول الرول</t>
        </is>
      </c>
      <c r="D12" s="27" t="inlineStr">
        <is>
          <t>سماكة الرول</t>
        </is>
      </c>
      <c r="E12" s="27" t="inlineStr">
        <is>
          <t>الزمن الكلي</t>
        </is>
      </c>
      <c r="F12" s="27" t="inlineStr">
        <is>
          <t>حجم الصنف</t>
        </is>
      </c>
      <c r="G12" s="27" t="inlineStr">
        <is>
          <t>عدد الأكياس المنتجة من الرول</t>
        </is>
      </c>
      <c r="H12" s="28" t="inlineStr">
        <is>
          <t>عدد الصحون المنتجة من الرول
صحن</t>
        </is>
      </c>
      <c r="I12" s="28" t="inlineStr">
        <is>
          <t>وزن الصحن المنتج (ما بين)
غرام</t>
        </is>
      </c>
      <c r="J12" s="28" t="inlineStr">
        <is>
          <t>نسبة الإمتصاص للصحن المنتج
%</t>
        </is>
      </c>
      <c r="K12" s="61" t="inlineStr">
        <is>
          <t>وزن الكيس المنتج الواحد
كغم</t>
        </is>
      </c>
      <c r="L12" s="62" t="n"/>
      <c r="M12" s="31" t="inlineStr">
        <is>
          <t>REC.%</t>
        </is>
      </c>
      <c r="N12" s="56" t="inlineStr">
        <is>
          <t>shifts</t>
        </is>
      </c>
    </row>
    <row r="13">
      <c r="A13" s="33" t="n"/>
      <c r="B13" s="34" t="n"/>
      <c r="C13" s="33" t="n"/>
      <c r="D13" s="33" t="n"/>
      <c r="E13" s="33" t="n"/>
      <c r="F13" s="33" t="n"/>
      <c r="G13" s="33" t="n"/>
      <c r="H13" s="34">
        <f>G13*250</f>
        <v/>
      </c>
      <c r="I13" s="34">
        <f>(K13*1000)/250</f>
        <v/>
      </c>
      <c r="J13" s="34" t="n"/>
      <c r="K13" s="63" t="n"/>
      <c r="L13" s="62" t="n"/>
      <c r="M13" s="56" t="n"/>
      <c r="N13" s="56" t="n"/>
    </row>
    <row r="14">
      <c r="A14" s="33" t="n"/>
      <c r="B14" s="34" t="n"/>
      <c r="C14" s="33" t="n"/>
      <c r="D14" s="33" t="n"/>
      <c r="E14" s="33" t="n"/>
      <c r="F14" s="33" t="n"/>
      <c r="G14" s="33" t="n"/>
      <c r="H14" s="34">
        <f>G14*250</f>
        <v/>
      </c>
      <c r="I14" s="34">
        <f>(K14*1000)/250</f>
        <v/>
      </c>
      <c r="J14" s="34" t="n"/>
      <c r="K14" s="63" t="n"/>
      <c r="L14" s="62" t="n"/>
      <c r="M14" s="56" t="n"/>
      <c r="N14" s="56" t="n"/>
    </row>
    <row r="15">
      <c r="A15" s="33" t="n"/>
      <c r="B15" s="34" t="n"/>
      <c r="C15" s="33" t="n"/>
      <c r="D15" s="33" t="n"/>
      <c r="E15" s="33" t="n"/>
      <c r="F15" s="33" t="n"/>
      <c r="G15" s="33" t="n"/>
      <c r="H15" s="34">
        <f>G15*250</f>
        <v/>
      </c>
      <c r="I15" s="34">
        <f>(K15*1000)/250</f>
        <v/>
      </c>
      <c r="J15" s="34" t="n"/>
      <c r="K15" s="63" t="n"/>
      <c r="L15" s="62" t="n"/>
      <c r="M15" s="36" t="n"/>
      <c r="N15" s="56" t="n"/>
    </row>
    <row r="16">
      <c r="A16" s="33" t="n"/>
      <c r="B16" s="34" t="n"/>
      <c r="C16" s="33" t="n"/>
      <c r="D16" s="33" t="n"/>
      <c r="E16" s="33" t="n"/>
      <c r="F16" s="33" t="n"/>
      <c r="G16" s="33" t="n"/>
      <c r="H16" s="34">
        <f>G16*250</f>
        <v/>
      </c>
      <c r="I16" s="34">
        <f>(K16*1000)/250</f>
        <v/>
      </c>
      <c r="J16" s="34" t="n"/>
      <c r="K16" s="63" t="n"/>
      <c r="L16" s="62" t="n"/>
      <c r="M16" s="36" t="n"/>
      <c r="N16" s="56" t="n"/>
    </row>
    <row r="17">
      <c r="A17" s="33" t="n"/>
      <c r="B17" s="34" t="n"/>
      <c r="C17" s="33" t="n"/>
      <c r="D17" s="33" t="n"/>
      <c r="E17" s="33" t="n"/>
      <c r="F17" s="33" t="n"/>
      <c r="G17" s="33" t="n"/>
      <c r="H17" s="34">
        <f>G17*250</f>
        <v/>
      </c>
      <c r="I17" s="34">
        <f>(K17*1000)/250</f>
        <v/>
      </c>
      <c r="J17" s="34" t="n"/>
      <c r="K17" s="63" t="n"/>
      <c r="L17" s="62" t="n"/>
      <c r="M17" s="36" t="n"/>
      <c r="N17" s="56" t="n"/>
    </row>
    <row r="18">
      <c r="A18" s="33" t="n"/>
      <c r="B18" s="34" t="n"/>
      <c r="C18" s="33" t="n"/>
      <c r="D18" s="33" t="n"/>
      <c r="E18" s="33" t="n"/>
      <c r="F18" s="33" t="n"/>
      <c r="G18" s="33" t="n"/>
      <c r="H18" s="34">
        <f>G18*250</f>
        <v/>
      </c>
      <c r="I18" s="34">
        <f>(K18*1000)/250</f>
        <v/>
      </c>
      <c r="J18" s="34" t="n"/>
      <c r="K18" s="63" t="n"/>
      <c r="L18" s="62" t="n"/>
      <c r="M18" s="36" t="n"/>
      <c r="N18" s="56" t="n"/>
    </row>
    <row r="19">
      <c r="A19" s="33" t="n"/>
      <c r="B19" s="34" t="n"/>
      <c r="C19" s="33" t="n"/>
      <c r="D19" s="33" t="n"/>
      <c r="E19" s="33" t="n"/>
      <c r="F19" s="33" t="n"/>
      <c r="G19" s="33" t="n"/>
      <c r="H19" s="34">
        <f>G19*250</f>
        <v/>
      </c>
      <c r="I19" s="34">
        <f>(K19*1000)/250</f>
        <v/>
      </c>
      <c r="J19" s="34" t="n"/>
      <c r="K19" s="63" t="n"/>
      <c r="L19" s="62" t="n"/>
      <c r="M19" s="36" t="n"/>
      <c r="N19" s="56" t="n"/>
    </row>
    <row r="20">
      <c r="A20" s="33" t="n"/>
      <c r="B20" s="34" t="n"/>
      <c r="C20" s="33" t="n"/>
      <c r="D20" s="33" t="n"/>
      <c r="E20" s="33" t="n"/>
      <c r="F20" s="33" t="n"/>
      <c r="G20" s="33" t="n"/>
      <c r="H20" s="34">
        <f>G20*250</f>
        <v/>
      </c>
      <c r="I20" s="34">
        <f>(K20*1000)/250</f>
        <v/>
      </c>
      <c r="J20" s="34" t="n"/>
      <c r="K20" s="63" t="n"/>
      <c r="L20" s="62" t="n"/>
      <c r="M20" s="36" t="n"/>
      <c r="N20" s="56" t="n"/>
    </row>
    <row r="21" ht="15.75" customHeight="1" s="59">
      <c r="A21" s="33" t="n"/>
      <c r="B21" s="34" t="n"/>
      <c r="C21" s="33" t="n"/>
      <c r="D21" s="33" t="n"/>
      <c r="E21" s="33" t="n"/>
      <c r="F21" s="33" t="n"/>
      <c r="G21" s="33" t="n"/>
      <c r="H21" s="34">
        <f>G21*250</f>
        <v/>
      </c>
      <c r="I21" s="34">
        <f>(K21*1000)/250</f>
        <v/>
      </c>
      <c r="J21" s="34" t="n"/>
      <c r="K21" s="63" t="n"/>
      <c r="L21" s="62" t="n"/>
      <c r="M21" s="36" t="n"/>
      <c r="N21" s="56" t="n"/>
    </row>
    <row r="22" ht="15.75" customHeight="1" s="59">
      <c r="A22" s="37" t="n"/>
      <c r="B22" s="37" t="n"/>
      <c r="C22" s="10" t="n"/>
      <c r="D22" s="10" t="n"/>
      <c r="E22" s="10" t="n"/>
      <c r="F22" s="10" t="n"/>
      <c r="G22" s="37" t="n"/>
      <c r="H22" s="37" t="n"/>
      <c r="I22" s="10" t="n"/>
      <c r="J22" s="38" t="n"/>
    </row>
    <row r="23" ht="15.75" customHeight="1" s="59">
      <c r="A23" s="37" t="n"/>
      <c r="B23" s="37">
        <f>SUM(B13:B21)</f>
        <v/>
      </c>
      <c r="C23" s="10" t="n"/>
      <c r="D23" s="10" t="n"/>
      <c r="E23" s="10" t="n"/>
      <c r="F23" s="10" t="n"/>
      <c r="G23" s="37">
        <f>SUM(G13:G21)</f>
        <v/>
      </c>
      <c r="H23" s="37">
        <f>SUM(H13:H21)</f>
        <v/>
      </c>
      <c r="I23" s="10" t="n"/>
      <c r="J23" s="10" t="n"/>
    </row>
    <row r="24" ht="15" customHeight="1" s="59">
      <c r="A24" s="64" t="inlineStr">
        <is>
          <t>عدد المشاتيح المنتجة</t>
        </is>
      </c>
      <c r="B24" s="65" t="n"/>
      <c r="C24" s="65" t="n"/>
      <c r="D24" s="65" t="n"/>
      <c r="E24" s="65" t="n"/>
      <c r="F24" s="65" t="n"/>
      <c r="G24" s="62" t="n"/>
      <c r="H24" s="41" t="n"/>
    </row>
    <row r="25" ht="15" customHeight="1" s="59">
      <c r="A25" s="45" t="inlineStr">
        <is>
          <t>رقم المسلسل للرول</t>
        </is>
      </c>
      <c r="B25" s="45" t="inlineStr">
        <is>
          <t>رقم المشتاح</t>
        </is>
      </c>
      <c r="C25" s="45" t="inlineStr">
        <is>
          <t>عدد الأكياس</t>
        </is>
      </c>
      <c r="D25" s="45" t="inlineStr">
        <is>
          <t>عدد الصحون</t>
        </is>
      </c>
      <c r="E25" s="45" t="inlineStr">
        <is>
          <t>صنف المنتج</t>
        </is>
      </c>
      <c r="F25" s="62" t="n"/>
      <c r="G25" s="45" t="inlineStr">
        <is>
          <t>ملاحظات</t>
        </is>
      </c>
      <c r="H25" s="44" t="n"/>
    </row>
    <row r="26" ht="15" customHeight="1" s="59">
      <c r="A26" s="45" t="n"/>
      <c r="B26" s="45" t="n"/>
      <c r="C26" s="45" t="n"/>
      <c r="D26" s="45">
        <f>C26*250</f>
        <v/>
      </c>
      <c r="E26" s="66" t="n"/>
      <c r="F26" s="62" t="n"/>
      <c r="G26" s="45" t="n"/>
      <c r="H26" s="67" t="n"/>
    </row>
    <row r="27" ht="15" customHeight="1" s="59">
      <c r="A27" s="45" t="n"/>
      <c r="B27" s="45" t="n"/>
      <c r="C27" s="45" t="n"/>
      <c r="D27" s="45">
        <f>C27*250</f>
        <v/>
      </c>
      <c r="E27" s="66" t="n"/>
      <c r="F27" s="62" t="n"/>
      <c r="G27" s="45" t="n"/>
      <c r="H27" s="67" t="n"/>
    </row>
    <row r="28" ht="15" customHeight="1" s="59">
      <c r="A28" s="45" t="n"/>
      <c r="B28" s="45" t="n"/>
      <c r="C28" s="45" t="n"/>
      <c r="D28" s="45">
        <f>C28*250</f>
        <v/>
      </c>
      <c r="E28" s="66" t="n"/>
      <c r="F28" s="62" t="n"/>
      <c r="G28" s="45" t="n"/>
      <c r="H28" s="67" t="n"/>
    </row>
    <row r="29" ht="15" customHeight="1" s="59">
      <c r="A29" s="45" t="n"/>
      <c r="B29" s="45" t="n"/>
      <c r="C29" s="45" t="n"/>
      <c r="D29" s="45">
        <f>C29*250</f>
        <v/>
      </c>
      <c r="E29" s="66" t="n"/>
      <c r="F29" s="62" t="n"/>
      <c r="G29" s="45" t="n"/>
      <c r="H29" s="67" t="n"/>
    </row>
    <row r="30" ht="15" customHeight="1" s="59">
      <c r="A30" s="45" t="n"/>
      <c r="B30" s="45" t="n"/>
      <c r="C30" s="45" t="n"/>
      <c r="D30" s="45" t="n"/>
      <c r="E30" s="66" t="n"/>
      <c r="F30" s="62" t="n"/>
      <c r="G30" s="45" t="n"/>
      <c r="H30" s="67" t="n"/>
    </row>
    <row r="31" ht="15.75" customHeight="1" s="59">
      <c r="A31" s="10" t="n"/>
      <c r="B31" s="10" t="n"/>
      <c r="C31" s="10" t="n"/>
      <c r="D31" s="10" t="n"/>
      <c r="E31" s="10" t="n"/>
      <c r="G31" s="10" t="n"/>
      <c r="H31" s="48" t="inlineStr">
        <is>
          <t>نسبة الفاقد</t>
        </is>
      </c>
      <c r="I31" s="48" t="inlineStr">
        <is>
          <t>الفاقد</t>
        </is>
      </c>
      <c r="J31" s="48" t="inlineStr">
        <is>
          <t>وزن الرولات المستخدمة</t>
        </is>
      </c>
      <c r="K31" s="48" t="inlineStr">
        <is>
          <t>عدد الصحون المنتجة</t>
        </is>
      </c>
      <c r="L31" s="48" t="inlineStr">
        <is>
          <t>المنتج النهائي</t>
        </is>
      </c>
    </row>
    <row r="32" ht="15.75" customHeight="1" s="59">
      <c r="A32" s="49" t="inlineStr">
        <is>
          <t>إجمالي عدد المشاتيح (طلبيه)</t>
        </is>
      </c>
      <c r="C32" s="24" t="inlineStr">
        <is>
          <t>إجمالي عدد الأكياس</t>
        </is>
      </c>
      <c r="D32" s="49" t="inlineStr">
        <is>
          <t>أجمالي عدد الصحون</t>
        </is>
      </c>
      <c r="H32" s="36">
        <f>I32/J32</f>
        <v/>
      </c>
      <c r="I32" s="56">
        <f>J32-(G23*K14)</f>
        <v/>
      </c>
      <c r="J32" s="56">
        <f>B23</f>
        <v/>
      </c>
      <c r="K32" s="56">
        <f>H23</f>
        <v/>
      </c>
      <c r="L32" s="56" t="n"/>
    </row>
    <row r="33" ht="15.75" customHeight="1" s="59">
      <c r="A33" s="50" t="n"/>
      <c r="C33" s="37">
        <f>SUM(C26:C30)</f>
        <v/>
      </c>
      <c r="D33" s="50">
        <f>SUM(D26:D30)</f>
        <v/>
      </c>
      <c r="H33" s="36" t="n"/>
      <c r="I33" s="56" t="n"/>
      <c r="J33" s="56" t="n"/>
      <c r="K33" s="56" t="n"/>
      <c r="L33" s="56" t="n"/>
    </row>
    <row r="34" ht="15.75" customHeight="1" s="59">
      <c r="H34" s="51" t="n"/>
      <c r="I34" s="68" t="n"/>
      <c r="J34" s="24" t="n"/>
      <c r="K34" s="24" t="n"/>
      <c r="L34" s="24" t="n"/>
    </row>
    <row r="35" ht="15.75" customHeight="1" s="59">
      <c r="A35" s="64" t="inlineStr">
        <is>
          <t>المتعلقات المستخدمة للتغليف</t>
        </is>
      </c>
      <c r="B35" s="65" t="n"/>
      <c r="C35" s="65" t="n"/>
      <c r="D35" s="65" t="n"/>
      <c r="E35" s="65" t="n"/>
      <c r="F35" s="65" t="n"/>
      <c r="G35" s="62" t="n"/>
      <c r="H35" s="53" t="n"/>
      <c r="I35" s="54" t="n"/>
      <c r="J35" s="55" t="n"/>
      <c r="K35" s="55" t="n"/>
    </row>
    <row r="36" ht="15.75" customHeight="1" s="59">
      <c r="A36" s="56" t="inlineStr">
        <is>
          <t>شرينج</t>
        </is>
      </c>
      <c r="B36" s="56" t="inlineStr">
        <is>
          <t>طربوش</t>
        </is>
      </c>
      <c r="C36" s="56" t="inlineStr">
        <is>
          <t xml:space="preserve">أكياس 95/130 ناشف </t>
        </is>
      </c>
      <c r="D36" s="56" t="inlineStr">
        <is>
          <t>أكياس 95/130 أحمر</t>
        </is>
      </c>
      <c r="E36" s="56" t="inlineStr">
        <is>
          <t>المشاتيح</t>
        </is>
      </c>
      <c r="F36" s="56" t="inlineStr">
        <is>
          <t>شريط اللاصق</t>
        </is>
      </c>
      <c r="G36" s="57" t="n"/>
      <c r="J36" s="58" t="n"/>
      <c r="K36" s="58" t="n"/>
    </row>
    <row r="37" ht="15.75" customHeight="1" s="59">
      <c r="A37" s="56" t="n"/>
      <c r="B37" s="56" t="n"/>
      <c r="C37" s="56" t="n"/>
      <c r="D37" s="56" t="n"/>
      <c r="E37" s="56" t="n"/>
      <c r="F37" s="56" t="n"/>
      <c r="G37" s="56" t="inlineStr">
        <is>
          <t>العدد</t>
        </is>
      </c>
      <c r="J37" s="58" t="n"/>
    </row>
    <row r="38" ht="15.75" customHeight="1" s="59">
      <c r="A38" s="56" t="n"/>
      <c r="B38" s="56" t="n"/>
      <c r="C38" s="56" t="n"/>
      <c r="D38" s="56" t="n"/>
      <c r="E38" s="56" t="n"/>
      <c r="F38" s="56" t="n"/>
      <c r="G38" s="56" t="n"/>
      <c r="J38" s="58" t="n"/>
    </row>
    <row r="39" ht="15.75" customHeight="1" s="59">
      <c r="A39" s="56" t="n"/>
      <c r="B39" s="56" t="n"/>
      <c r="C39" s="56" t="n"/>
      <c r="D39" s="56" t="n"/>
      <c r="E39" s="56" t="n"/>
      <c r="F39" s="56" t="n"/>
      <c r="G39" s="56" t="inlineStr">
        <is>
          <t>الوزن (كغم)</t>
        </is>
      </c>
    </row>
    <row r="40" ht="15.75" customHeight="1" s="59">
      <c r="A40" s="51" t="n"/>
      <c r="B40" s="68" t="n"/>
      <c r="C40" s="68" t="n"/>
    </row>
    <row r="41" ht="15.75" customHeight="1" s="59"/>
    <row r="42" ht="15.75" customHeight="1" s="59"/>
    <row r="43" ht="15.75" customHeight="1" s="59"/>
    <row r="44" ht="15.75" customHeight="1" s="59"/>
    <row r="45" ht="15.75" customHeight="1" s="59"/>
    <row r="46" ht="15.75" customHeight="1" s="59"/>
    <row r="47" ht="15.75" customHeight="1" s="59"/>
    <row r="48" ht="15.75" customHeight="1" s="59"/>
    <row r="49" ht="15.75" customHeight="1" s="59"/>
    <row r="50" ht="15.75" customHeight="1" s="59"/>
    <row r="51" ht="15.75" customHeight="1" s="59"/>
    <row r="52" ht="15.75" customHeight="1" s="59"/>
    <row r="53" ht="15.75" customHeight="1" s="59"/>
    <row r="54" ht="15.75" customHeight="1" s="59"/>
    <row r="55" ht="15.75" customHeight="1" s="59"/>
    <row r="56" ht="15.75" customHeight="1" s="59"/>
    <row r="57" ht="15.75" customHeight="1" s="59"/>
    <row r="58" ht="15.75" customHeight="1" s="59"/>
    <row r="59" ht="15.75" customHeight="1" s="59"/>
    <row r="60" ht="15.75" customHeight="1" s="59"/>
    <row r="61" ht="15.75" customHeight="1" s="59"/>
    <row r="62" ht="15.75" customHeight="1" s="59"/>
    <row r="63" ht="15.75" customHeight="1" s="59"/>
    <row r="64" ht="15.75" customHeight="1" s="59"/>
    <row r="65" ht="15.75" customHeight="1" s="59"/>
    <row r="66" ht="15.75" customHeight="1" s="59"/>
    <row r="67" ht="15.75" customHeight="1" s="59"/>
    <row r="68" ht="15.75" customHeight="1" s="59"/>
    <row r="69" ht="15.75" customHeight="1" s="59"/>
    <row r="70" ht="15.7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</sheetData>
  <mergeCells count="42">
    <mergeCell ref="K16:L16"/>
    <mergeCell ref="F4:G4"/>
    <mergeCell ref="B3:C3"/>
    <mergeCell ref="D32:F32"/>
    <mergeCell ref="K15:L15"/>
    <mergeCell ref="A35:G35"/>
    <mergeCell ref="G1:J1"/>
    <mergeCell ref="A6:B6"/>
    <mergeCell ref="K21:L21"/>
    <mergeCell ref="C4:D4"/>
    <mergeCell ref="H34:I34"/>
    <mergeCell ref="K20:L20"/>
    <mergeCell ref="E29:F29"/>
    <mergeCell ref="E28:F28"/>
    <mergeCell ref="A24:G24"/>
    <mergeCell ref="D3:F3"/>
    <mergeCell ref="K22:L22"/>
    <mergeCell ref="D33:F33"/>
    <mergeCell ref="E31:F31"/>
    <mergeCell ref="A1:D1"/>
    <mergeCell ref="E30:F30"/>
    <mergeCell ref="K12:L12"/>
    <mergeCell ref="A33:B33"/>
    <mergeCell ref="A9:F9"/>
    <mergeCell ref="A5:B5"/>
    <mergeCell ref="E27:F27"/>
    <mergeCell ref="A32:B32"/>
    <mergeCell ref="A7:D7"/>
    <mergeCell ref="A40:C40"/>
    <mergeCell ref="E26:F26"/>
    <mergeCell ref="A8:B8"/>
    <mergeCell ref="K14:L14"/>
    <mergeCell ref="K17:L17"/>
    <mergeCell ref="A4:B4"/>
    <mergeCell ref="A11:F11"/>
    <mergeCell ref="E25:F25"/>
    <mergeCell ref="H24:L24"/>
    <mergeCell ref="K19:L19"/>
    <mergeCell ref="H25:L30"/>
    <mergeCell ref="A2:J2"/>
    <mergeCell ref="K13:L13"/>
    <mergeCell ref="K18:L18"/>
  </mergeCells>
  <dataValidations count="1">
    <dataValidation sqref="H3" showDropDown="0" showInputMessage="0" showErrorMessage="1" allowBlank="1" type="list">
      <formula1>"A,B,C,A+B,B+C,C+A,A+B+C"</formula1>
    </dataValidation>
  </dataValidation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2026-03-28T20:37:35Z</dcterms:created>
  <dcterms:modified xsi:type="dcterms:W3CDTF">2026-10-11T19:25:35Z</dcterms:modified>
  <cp:lastModifiedBy>Reception</cp:lastModifiedBy>
  <cp:lastPrinted>2026-06-23T10:58:16Z</cp:lastPrinted>
</cp:coreProperties>
</file>